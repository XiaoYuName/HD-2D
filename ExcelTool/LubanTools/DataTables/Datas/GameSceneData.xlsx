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AFramework\ExcelTool\LubanTools\DataTables\Datas\"/>
    </mc:Choice>
  </mc:AlternateContent>
  <bookViews>
    <workbookView windowHeight="17680"/>
  </bookViews>
  <sheets>
    <sheet name="小场景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<sst xmlns="http://schemas.openxmlformats.org/spreadsheetml/2006/main" count="92" uniqueCount="65">
  <si>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##var</t>
  </si>
  <si>
    <t>ID</t>
  </si>
  <si>
    <t>Remark</t>
  </si>
  <si>
    <t>SceneName</t>
  </si>
  <si>
    <t>Desc</t>
  </si>
  <si>
    <t>ScenePath</t>
  </si>
  <si>
    <t>ReturnScene</t>
  </si>
  <si>
    <t>SceneImage</t>
  </si>
  <si>
    <t>PermanentScene</t>
  </si>
  <si>
    <t>UnlockConditionsID</t>
  </si>
  <si>
    <t>ActiveNpcID</t>
  </si>
  <si>
    <t>NpcSpawnGroupID</t>
  </si>
  <si>
    <t>SceneUI</t>
  </si>
  <si>
    <t>##type</t>
  </si>
  <si>
    <t>long</t>
  </si>
  <si>
    <t>string</t>
  </si>
  <si>
    <t>TbLocalzationKeyData#sep=+</t>
  </si>
  <si>
    <t>PermanentSceneType</t>
  </si>
  <si>
    <t>(list#sep=+),long</t>
  </si>
  <si>
    <t>##</t>
  </si>
  <si>
    <t>场景唯一ID</t>
  </si>
  <si>
    <t>备注</t>
  </si>
  <si>
    <t>名称</t>
  </si>
  <si>
    <t>描述</t>
  </si>
  <si>
    <t>场景路径</t>
  </si>
  <si>
    <t>返回场景</t>
  </si>
  <si>
    <t>场景图片</t>
  </si>
  <si>
    <t>常驻场景</t>
  </si>
  <si>
    <t>解锁表ID</t>
  </si>
  <si>
    <t>活动的NPC列表</t>
  </si>
  <si>
    <t>随机的GroupNPC列表</t>
  </si>
  <si>
    <t>场景默认的UI界面</t>
  </si>
  <si>
    <t>公寓客厅厨房</t>
  </si>
  <si>
    <t>常驻</t>
  </si>
  <si>
    <t>10003+10007+10014</t>
  </si>
  <si>
    <t>女主房间</t>
  </si>
  <si>
    <t>10001+10002</t>
  </si>
  <si>
    <t>男主房间</t>
  </si>
  <si>
    <t>GarmentMakingCommonUI</t>
  </si>
  <si>
    <t>卫浴间</t>
  </si>
  <si>
    <t>商业街</t>
  </si>
  <si>
    <t>超市</t>
  </si>
  <si>
    <t>布料店</t>
  </si>
  <si>
    <t>鲜蔬店</t>
  </si>
  <si>
    <t>情趣用品商店</t>
  </si>
  <si>
    <t>公园</t>
  </si>
  <si>
    <t>小河</t>
  </si>
  <si>
    <t>10021+10028</t>
  </si>
  <si>
    <t>酒吧</t>
  </si>
  <si>
    <t>10004+10009+10018+10022</t>
  </si>
  <si>
    <t>赌场</t>
  </si>
  <si>
    <t>10023+10029+10030+10031</t>
  </si>
  <si>
    <t>周边工厂</t>
  </si>
  <si>
    <t>条件</t>
  </si>
  <si>
    <t>摄影棚</t>
  </si>
  <si>
    <t>10015+10026</t>
  </si>
  <si>
    <t>会场外</t>
  </si>
  <si>
    <t>会场内</t>
  </si>
  <si>
    <t>10010+10013</t>
  </si>
  <si>
    <t>高级公寓</t>
  </si>
  <si>
    <t>咖啡厅</t>
  </si>
  <si>
    <t>10008+10011+10012+10017</t>
  </si>
  <si>
    <t>女主工作室</t>
  </si>
  <si>
    <t>男主工作室</t>
  </si>
  <si>
    <t>会场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</si>
</sst>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1F2329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5" xfId="49" applyFont="1" applyBorder="1" applyAlignment="1">
      <alignment horizontal="center"/>
    </xf>
    <xf numFmtId="0" fontId="1" fillId="0" borderId="5" xfId="0" applyFont="1" applyBorder="1"/>
    <xf numFmtId="0" fontId="1" fillId="0" borderId="2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pane xSplit="3" topLeftCell="G1" activePane="topRight" state="frozen"/>
      <selection/>
      <selection pane="topRight" activeCell="B4" sqref="B4"/>
    </sheetView>
  </sheetViews>
  <sheetFormatPr defaultColWidth="9" defaultRowHeight="14"/>
  <cols>
    <col min="2" max="2" width="15.1666666666667" style="1" customWidth="1"/>
    <col min="3" max="3" width="16.8333333333333" style="1" customWidth="1"/>
    <col min="4" max="4" width="44" style="2" customWidth="1"/>
    <col min="5" max="5" width="44.5833333333333" customWidth="1"/>
    <col min="6" max="6" width="96.8333333333333" customWidth="1"/>
    <col min="7" max="7" width="27" customWidth="1"/>
    <col min="8" max="8" width="40" customWidth="1"/>
    <col min="9" max="9" width="23.0833333333333" style="1" customWidth="1"/>
    <col min="10" max="10" width="30.8333333333333" style="3" customWidth="1"/>
    <col min="11" max="11" width="39.9166666666667" customWidth="1"/>
    <col min="12" max="12" width="21.25" customWidth="1"/>
    <col min="13" max="13" width="24.5833333333333" customWidth="1"/>
  </cols>
  <sheetData>
    <row r="1" ht="16.5" spans="1:13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</row>
    <row r="2" ht="16.5" spans="1:13">
      <c r="A2" s="4" t="s">
        <v>13</v>
      </c>
      <c r="B2" s="4" t="s">
        <v>14</v>
      </c>
      <c r="C2" s="5" t="s">
        <v>15</v>
      </c>
      <c r="D2" s="15" t="s">
        <v>16</v>
      </c>
      <c r="E2" s="15" t="s">
        <v>16</v>
      </c>
      <c r="F2" s="4" t="s">
        <v>15</v>
      </c>
      <c r="G2" s="7" t="s">
        <v>14</v>
      </c>
      <c r="H2" s="5" t="s">
        <v>15</v>
      </c>
      <c r="I2" s="10" t="s">
        <v>17</v>
      </c>
      <c r="J2" s="11" t="s">
        <v>18</v>
      </c>
      <c r="K2" s="12" t="s">
        <v>18</v>
      </c>
      <c r="L2" s="16" t="s">
        <v>18</v>
      </c>
      <c r="M2" s="14" t="s">
        <v>15</v>
      </c>
    </row>
    <row r="3" ht="16.5" spans="1:13">
      <c r="A3" s="4" t="s">
        <v>19</v>
      </c>
      <c r="B3" s="4" t="s">
        <v>20</v>
      </c>
      <c r="C3" s="5" t="s">
        <v>21</v>
      </c>
      <c r="D3" s="17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10" t="s">
        <v>27</v>
      </c>
      <c r="J3" s="11" t="s">
        <v>28</v>
      </c>
      <c r="K3" s="12" t="s">
        <v>29</v>
      </c>
      <c r="L3" s="16" t="s">
        <v>30</v>
      </c>
      <c r="M3" s="14" t="s">
        <v>31</v>
      </c>
    </row>
    <row r="4" ht="16.5" spans="1:13">
      <c r="A4" s="4"/>
      <c r="B4" s="4">
        <v>10001</v>
      </c>
      <c r="C4" s="9" t="s">
        <v>32</v>
      </c>
      <c r="D4" s="18" t="str">
        <f>CONCATENATE("WordScene+Scene",B4,"Name")</f>
        <v>WordScene+Scene10001Name</v>
      </c>
      <c r="E4" s="18" t="str">
        <f t="shared" ref="E4:E25" si="0">CONCATENATE("WordScene+Scene",B4,"Text")</f>
        <v>WordScene+Scene10001Text</v>
      </c>
      <c r="F4" s="18" t="str">
        <f t="shared" ref="F4:F25" si="1">CONCATENATE("Scene",B4,"Path")</f>
        <v>Scene10001Path</v>
      </c>
      <c r="G4" s="8">
        <v>-1</v>
      </c>
      <c r="H4" s="18" t="str">
        <f>CONCATENATE("Scene",B4,"Texture.jpg")</f>
        <v>Scene10001Texture.jpg</v>
      </c>
      <c r="I4" s="10" t="s">
        <v>33</v>
      </c>
      <c r="J4" s="11">
        <v>0</v>
      </c>
      <c r="K4" s="12" t="s">
        <v>34</v>
      </c>
      <c r="L4" s="13">
        <v>10001</v>
      </c>
    </row>
    <row r="5" ht="16.5" spans="1:13">
      <c r="A5" s="4"/>
      <c r="B5" s="4">
        <v>10002</v>
      </c>
      <c r="C5" s="9" t="s">
        <v>35</v>
      </c>
      <c r="D5" s="18" t="str">
        <f t="shared" ref="D5:D25" si="2">CONCATENATE("WordScene+Scene",B5,"Name")</f>
        <v>WordScene+Scene10002Name</v>
      </c>
      <c r="E5" s="18" t="str">
        <f t="shared" si="0"/>
        <v>WordScene+Scene10002Text</v>
      </c>
      <c r="F5" s="18" t="str">
        <f t="shared" si="1"/>
        <v>Scene10002Path</v>
      </c>
      <c r="G5" s="8">
        <v>-1</v>
      </c>
      <c r="H5" s="18" t="str">
        <f t="shared" ref="H5:H25" si="3">CONCATENATE("Scene",B5,"Texture.jpg")</f>
        <v>Scene10002Texture.jpg</v>
      </c>
      <c r="I5" s="10" t="s">
        <v>33</v>
      </c>
      <c r="J5" s="11">
        <v>0</v>
      </c>
      <c r="K5" s="12" t="s">
        <v>36</v>
      </c>
      <c r="L5" s="19"/>
    </row>
    <row r="6" ht="16.5" spans="1:13">
      <c r="A6" s="4"/>
      <c r="B6" s="4">
        <v>10003</v>
      </c>
      <c r="C6" s="9" t="s">
        <v>37</v>
      </c>
      <c r="D6" s="18" t="str">
        <f t="shared" si="2"/>
        <v>WordScene+Scene10003Name</v>
      </c>
      <c r="E6" s="18" t="str">
        <f t="shared" si="0"/>
        <v>WordScene+Scene10003Text</v>
      </c>
      <c r="F6" s="18" t="str">
        <f t="shared" si="1"/>
        <v>Scene10003Path</v>
      </c>
      <c r="G6" s="8">
        <v>-1</v>
      </c>
      <c r="H6" s="18" t="str">
        <f t="shared" si="3"/>
        <v>Scene10003Texture.jpg</v>
      </c>
      <c r="I6" s="10" t="s">
        <v>33</v>
      </c>
      <c r="J6" s="11">
        <v>0</v>
      </c>
      <c r="K6" s="12"/>
      <c r="L6" s="20"/>
      <c r="M6" s="1" t="s">
        <v>38</v>
      </c>
    </row>
    <row r="7" ht="16.5" spans="1:13">
      <c r="A7" s="4"/>
      <c r="B7" s="4">
        <v>10004</v>
      </c>
      <c r="C7" s="9" t="s">
        <v>39</v>
      </c>
      <c r="D7" s="18" t="str">
        <f t="shared" si="2"/>
        <v>WordScene+Scene10004Name</v>
      </c>
      <c r="E7" s="18" t="str">
        <f t="shared" si="0"/>
        <v>WordScene+Scene10004Text</v>
      </c>
      <c r="F7" s="18" t="str">
        <f t="shared" si="1"/>
        <v>Scene10004Path</v>
      </c>
      <c r="G7" s="8">
        <v>-1</v>
      </c>
      <c r="H7" s="18" t="str">
        <f t="shared" si="3"/>
        <v>Scene10004Texture.jpg</v>
      </c>
      <c r="I7" s="10" t="s">
        <v>33</v>
      </c>
      <c r="J7" s="11">
        <v>0</v>
      </c>
      <c r="K7" s="12"/>
      <c r="L7" s="20"/>
    </row>
    <row r="8" ht="16.5" spans="1:13">
      <c r="A8" s="4"/>
      <c r="B8" s="4">
        <v>10005</v>
      </c>
      <c r="C8" s="9" t="s">
        <v>40</v>
      </c>
      <c r="D8" s="18" t="str">
        <f t="shared" si="2"/>
        <v>WordScene+Scene10005Name</v>
      </c>
      <c r="E8" s="18" t="str">
        <f t="shared" si="0"/>
        <v>WordScene+Scene10005Text</v>
      </c>
      <c r="F8" s="18" t="str">
        <f t="shared" si="1"/>
        <v>Scene10005Path</v>
      </c>
      <c r="G8" s="8">
        <v>-1</v>
      </c>
      <c r="H8" s="18" t="str">
        <f t="shared" si="3"/>
        <v>Scene10005Texture.jpg</v>
      </c>
      <c r="I8" s="10" t="s">
        <v>33</v>
      </c>
      <c r="J8" s="11">
        <v>0</v>
      </c>
      <c r="K8" s="12"/>
      <c r="L8" s="20"/>
    </row>
    <row r="9" ht="16.5" spans="1:13">
      <c r="A9" s="4"/>
      <c r="B9" s="4">
        <v>10006</v>
      </c>
      <c r="C9" s="9" t="s">
        <v>41</v>
      </c>
      <c r="D9" s="18" t="str">
        <f t="shared" si="2"/>
        <v>WordScene+Scene10006Name</v>
      </c>
      <c r="E9" s="18" t="str">
        <f t="shared" si="0"/>
        <v>WordScene+Scene10006Text</v>
      </c>
      <c r="F9" s="18" t="str">
        <f t="shared" si="1"/>
        <v>Scene10006Path</v>
      </c>
      <c r="G9" s="8">
        <v>-1</v>
      </c>
      <c r="H9" s="18" t="str">
        <f t="shared" si="3"/>
        <v>Scene10006Texture.jpg</v>
      </c>
      <c r="I9" s="10" t="s">
        <v>33</v>
      </c>
      <c r="J9" s="11">
        <v>0</v>
      </c>
      <c r="K9" s="12">
        <v>10019</v>
      </c>
      <c r="L9" s="20"/>
    </row>
    <row r="10" ht="16.5" spans="1:13">
      <c r="A10" s="4"/>
      <c r="B10" s="4">
        <v>10007</v>
      </c>
      <c r="C10" s="9" t="s">
        <v>42</v>
      </c>
      <c r="D10" s="18" t="str">
        <f t="shared" si="2"/>
        <v>WordScene+Scene10007Name</v>
      </c>
      <c r="E10" s="18" t="str">
        <f t="shared" si="0"/>
        <v>WordScene+Scene10007Text</v>
      </c>
      <c r="F10" s="18" t="str">
        <f t="shared" si="1"/>
        <v>Scene10007Path</v>
      </c>
      <c r="G10" s="8">
        <v>-1</v>
      </c>
      <c r="H10" s="18" t="str">
        <f t="shared" si="3"/>
        <v>Scene10007Texture.jpg</v>
      </c>
      <c r="I10" s="10" t="s">
        <v>33</v>
      </c>
      <c r="J10" s="11">
        <v>0</v>
      </c>
      <c r="K10" s="12">
        <v>10025</v>
      </c>
      <c r="L10" s="20"/>
    </row>
    <row r="11" ht="16.5" spans="1:13">
      <c r="A11" s="4"/>
      <c r="B11" s="4">
        <v>10008</v>
      </c>
      <c r="C11" s="9" t="s">
        <v>43</v>
      </c>
      <c r="D11" s="18" t="str">
        <f t="shared" si="2"/>
        <v>WordScene+Scene10008Name</v>
      </c>
      <c r="E11" s="18" t="str">
        <f t="shared" si="0"/>
        <v>WordScene+Scene10008Text</v>
      </c>
      <c r="F11" s="18" t="str">
        <f t="shared" si="1"/>
        <v>Scene10008Path</v>
      </c>
      <c r="G11" s="8">
        <v>-1</v>
      </c>
      <c r="H11" s="18" t="str">
        <f t="shared" si="3"/>
        <v>Scene10008Texture.jpg</v>
      </c>
      <c r="I11" s="10" t="s">
        <v>33</v>
      </c>
      <c r="J11" s="11">
        <v>0</v>
      </c>
      <c r="K11" s="12">
        <v>10027</v>
      </c>
      <c r="L11" s="20"/>
    </row>
    <row r="12" ht="16.5" spans="1:13">
      <c r="A12" s="4"/>
      <c r="B12" s="4">
        <v>10009</v>
      </c>
      <c r="C12" s="9" t="s">
        <v>44</v>
      </c>
      <c r="D12" s="18" t="str">
        <f t="shared" si="2"/>
        <v>WordScene+Scene10009Name</v>
      </c>
      <c r="E12" s="18" t="str">
        <f t="shared" si="0"/>
        <v>WordScene+Scene10009Text</v>
      </c>
      <c r="F12" s="18" t="str">
        <f t="shared" si="1"/>
        <v>Scene10009Path</v>
      </c>
      <c r="G12" s="8">
        <v>-1</v>
      </c>
      <c r="H12" s="18" t="str">
        <f t="shared" si="3"/>
        <v>Scene10009Texture.jpg</v>
      </c>
      <c r="I12" s="10" t="s">
        <v>33</v>
      </c>
      <c r="J12" s="11">
        <v>0</v>
      </c>
      <c r="K12" s="12">
        <v>10016</v>
      </c>
      <c r="L12" s="20"/>
    </row>
    <row r="13" ht="16.5" spans="1:13">
      <c r="A13" s="4"/>
      <c r="B13" s="4">
        <v>10010</v>
      </c>
      <c r="C13" s="9" t="s">
        <v>45</v>
      </c>
      <c r="D13" s="18" t="str">
        <f t="shared" si="2"/>
        <v>WordScene+Scene10010Name</v>
      </c>
      <c r="E13" s="18" t="str">
        <f t="shared" si="0"/>
        <v>WordScene+Scene10010Text</v>
      </c>
      <c r="F13" s="18" t="str">
        <f t="shared" si="1"/>
        <v>Scene10010Path</v>
      </c>
      <c r="G13" s="8">
        <v>-1</v>
      </c>
      <c r="H13" s="18" t="str">
        <f t="shared" si="3"/>
        <v>Scene10010Texture.jpg</v>
      </c>
      <c r="I13" s="10" t="s">
        <v>33</v>
      </c>
      <c r="J13" s="11">
        <v>0</v>
      </c>
      <c r="K13" s="12">
        <v>10020</v>
      </c>
      <c r="L13" s="20"/>
    </row>
    <row r="14" ht="16.5" spans="1:13">
      <c r="A14" s="4"/>
      <c r="B14" s="4">
        <v>10011</v>
      </c>
      <c r="C14" s="9" t="s">
        <v>46</v>
      </c>
      <c r="D14" s="18" t="str">
        <f t="shared" si="2"/>
        <v>WordScene+Scene10011Name</v>
      </c>
      <c r="E14" s="18" t="str">
        <f t="shared" si="0"/>
        <v>WordScene+Scene10011Text</v>
      </c>
      <c r="F14" s="18" t="str">
        <f t="shared" si="1"/>
        <v>Scene10011Path</v>
      </c>
      <c r="G14" s="8">
        <v>-1</v>
      </c>
      <c r="H14" s="18" t="str">
        <f t="shared" si="3"/>
        <v>Scene10011Texture.jpg</v>
      </c>
      <c r="I14" s="10" t="s">
        <v>33</v>
      </c>
      <c r="J14" s="11">
        <v>0</v>
      </c>
      <c r="K14" s="12" t="s">
        <v>47</v>
      </c>
      <c r="L14" s="20"/>
    </row>
    <row r="15" ht="16.5" spans="1:13">
      <c r="A15" s="4"/>
      <c r="B15" s="4">
        <v>10012</v>
      </c>
      <c r="C15" s="9" t="s">
        <v>48</v>
      </c>
      <c r="D15" s="18" t="str">
        <f t="shared" si="2"/>
        <v>WordScene+Scene10012Name</v>
      </c>
      <c r="E15" s="18" t="str">
        <f t="shared" si="0"/>
        <v>WordScene+Scene10012Text</v>
      </c>
      <c r="F15" s="18" t="str">
        <f t="shared" si="1"/>
        <v>Scene10012Path</v>
      </c>
      <c r="G15" s="8">
        <v>-1</v>
      </c>
      <c r="H15" s="18" t="str">
        <f t="shared" si="3"/>
        <v>Scene10012Texture.jpg</v>
      </c>
      <c r="I15" s="10" t="s">
        <v>33</v>
      </c>
      <c r="J15" s="11">
        <v>0</v>
      </c>
      <c r="K15" s="12" t="s">
        <v>49</v>
      </c>
      <c r="L15" s="20"/>
    </row>
    <row r="16" ht="16.5" spans="1:13">
      <c r="A16" s="4"/>
      <c r="B16" s="4">
        <v>10013</v>
      </c>
      <c r="C16" s="9" t="s">
        <v>50</v>
      </c>
      <c r="D16" s="18" t="str">
        <f t="shared" si="2"/>
        <v>WordScene+Scene10013Name</v>
      </c>
      <c r="E16" s="18" t="str">
        <f t="shared" si="0"/>
        <v>WordScene+Scene10013Text</v>
      </c>
      <c r="F16" s="18" t="str">
        <f t="shared" si="1"/>
        <v>Scene10013Path</v>
      </c>
      <c r="G16" s="8">
        <v>-1</v>
      </c>
      <c r="H16" s="18" t="str">
        <f t="shared" si="3"/>
        <v>Scene10013Texture.jpg</v>
      </c>
      <c r="I16" s="10" t="s">
        <v>33</v>
      </c>
      <c r="J16" s="11">
        <v>0</v>
      </c>
      <c r="K16" s="12" t="s">
        <v>51</v>
      </c>
      <c r="L16" s="20"/>
    </row>
    <row r="17" ht="16.5" spans="1:12">
      <c r="A17" s="4"/>
      <c r="B17" s="4">
        <v>10014</v>
      </c>
      <c r="C17" s="9" t="s">
        <v>52</v>
      </c>
      <c r="D17" s="18" t="str">
        <f t="shared" si="2"/>
        <v>WordScene+Scene10014Name</v>
      </c>
      <c r="E17" s="18" t="str">
        <f t="shared" si="0"/>
        <v>WordScene+Scene10014Text</v>
      </c>
      <c r="F17" s="18" t="str">
        <f t="shared" si="1"/>
        <v>Scene10014Path</v>
      </c>
      <c r="G17" s="8">
        <v>-1</v>
      </c>
      <c r="H17" s="18" t="str">
        <f t="shared" si="3"/>
        <v>Scene10014Texture.jpg</v>
      </c>
      <c r="I17" s="10" t="s">
        <v>53</v>
      </c>
      <c r="J17" s="11">
        <v>1</v>
      </c>
      <c r="K17" s="12">
        <v>10024</v>
      </c>
      <c r="L17" s="20"/>
    </row>
    <row r="18" ht="16.5" spans="1:12">
      <c r="A18" s="4"/>
      <c r="B18" s="4">
        <v>10015</v>
      </c>
      <c r="C18" s="9" t="s">
        <v>54</v>
      </c>
      <c r="D18" s="18" t="str">
        <f t="shared" si="2"/>
        <v>WordScene+Scene10015Name</v>
      </c>
      <c r="E18" s="18" t="str">
        <f t="shared" si="0"/>
        <v>WordScene+Scene10015Text</v>
      </c>
      <c r="F18" s="18" t="str">
        <f t="shared" si="1"/>
        <v>Scene10015Path</v>
      </c>
      <c r="G18" s="8">
        <v>-1</v>
      </c>
      <c r="H18" s="18" t="str">
        <f t="shared" si="3"/>
        <v>Scene10015Texture.jpg</v>
      </c>
      <c r="I18" s="10" t="s">
        <v>33</v>
      </c>
      <c r="J18" s="11">
        <v>0</v>
      </c>
      <c r="K18" s="12" t="s">
        <v>55</v>
      </c>
      <c r="L18" s="20"/>
    </row>
    <row r="19" ht="16.5" spans="1:12">
      <c r="A19" s="4"/>
      <c r="B19" s="4">
        <v>10016</v>
      </c>
      <c r="C19" s="9" t="s">
        <v>56</v>
      </c>
      <c r="D19" s="18" t="str">
        <f t="shared" si="2"/>
        <v>WordScene+Scene10016Name</v>
      </c>
      <c r="E19" s="18" t="str">
        <f t="shared" si="0"/>
        <v>WordScene+Scene10016Text</v>
      </c>
      <c r="F19" s="18" t="str">
        <f t="shared" si="1"/>
        <v>Scene10016Path</v>
      </c>
      <c r="G19" s="8">
        <v>-1</v>
      </c>
      <c r="H19" s="18" t="str">
        <f t="shared" si="3"/>
        <v>Scene10016Texture.jpg</v>
      </c>
      <c r="I19" s="10" t="s">
        <v>33</v>
      </c>
      <c r="J19" s="11">
        <v>0</v>
      </c>
      <c r="K19" s="12">
        <v>10006</v>
      </c>
      <c r="L19" s="20"/>
    </row>
    <row r="20" ht="16.5" spans="1:12">
      <c r="A20" s="4"/>
      <c r="B20" s="4">
        <v>10017</v>
      </c>
      <c r="C20" s="9" t="s">
        <v>57</v>
      </c>
      <c r="D20" s="18" t="str">
        <f t="shared" si="2"/>
        <v>WordScene+Scene10017Name</v>
      </c>
      <c r="E20" s="18" t="str">
        <f t="shared" si="0"/>
        <v>WordScene+Scene10017Text</v>
      </c>
      <c r="F20" s="18" t="str">
        <f t="shared" si="1"/>
        <v>Scene10017Path</v>
      </c>
      <c r="G20" s="8">
        <v>-1</v>
      </c>
      <c r="H20" s="18" t="str">
        <f t="shared" si="3"/>
        <v>Scene10017Texture.jpg</v>
      </c>
      <c r="I20" s="10" t="s">
        <v>33</v>
      </c>
      <c r="J20" s="11">
        <v>0</v>
      </c>
      <c r="K20" s="12" t="s">
        <v>58</v>
      </c>
      <c r="L20" s="20"/>
    </row>
    <row r="21" ht="16.5" spans="1:12">
      <c r="A21" s="4"/>
      <c r="B21" s="4">
        <v>10018</v>
      </c>
      <c r="C21" s="9" t="s">
        <v>59</v>
      </c>
      <c r="D21" s="18" t="str">
        <f t="shared" si="2"/>
        <v>WordScene+Scene10018Name</v>
      </c>
      <c r="E21" s="18" t="str">
        <f t="shared" si="0"/>
        <v>WordScene+Scene10018Text</v>
      </c>
      <c r="F21" s="18" t="str">
        <f t="shared" si="1"/>
        <v>Scene10018Path</v>
      </c>
      <c r="G21" s="8">
        <v>-1</v>
      </c>
      <c r="H21" s="18" t="str">
        <f t="shared" si="3"/>
        <v>Scene10018Texture.jpg</v>
      </c>
      <c r="I21" s="10" t="s">
        <v>33</v>
      </c>
      <c r="J21" s="11">
        <v>0</v>
      </c>
      <c r="K21" s="12"/>
      <c r="L21" s="20"/>
    </row>
    <row r="22" ht="16.5" spans="1:12">
      <c r="A22" s="4"/>
      <c r="B22" s="4">
        <v>10019</v>
      </c>
      <c r="C22" s="9" t="s">
        <v>60</v>
      </c>
      <c r="D22" s="18" t="str">
        <f t="shared" si="2"/>
        <v>WordScene+Scene10019Name</v>
      </c>
      <c r="E22" s="18" t="str">
        <f t="shared" si="0"/>
        <v>WordScene+Scene10019Text</v>
      </c>
      <c r="F22" s="18" t="str">
        <f t="shared" si="1"/>
        <v>Scene10019Path</v>
      </c>
      <c r="G22" s="8">
        <v>-1</v>
      </c>
      <c r="H22" s="18" t="str">
        <f t="shared" si="3"/>
        <v>Scene10019Texture.jpg</v>
      </c>
      <c r="I22" s="10" t="s">
        <v>33</v>
      </c>
      <c r="J22" s="11">
        <v>0</v>
      </c>
      <c r="K22" s="12" t="s">
        <v>61</v>
      </c>
      <c r="L22" s="20"/>
    </row>
    <row r="23" ht="16.5" spans="1:12">
      <c r="A23" s="4"/>
      <c r="B23" s="4">
        <v>10020</v>
      </c>
      <c r="C23" s="21" t="s">
        <v>62</v>
      </c>
      <c r="D23" s="18" t="str">
        <f t="shared" si="2"/>
        <v>WordScene+Scene10020Name</v>
      </c>
      <c r="E23" s="18" t="str">
        <f t="shared" si="0"/>
        <v>WordScene+Scene10020Text</v>
      </c>
      <c r="F23" s="18" t="str">
        <f t="shared" si="1"/>
        <v>Scene10020Path</v>
      </c>
      <c r="G23" s="8">
        <v>-1</v>
      </c>
      <c r="H23" s="18" t="str">
        <f t="shared" si="3"/>
        <v>Scene10020Texture.jpg</v>
      </c>
      <c r="I23" s="10" t="s">
        <v>33</v>
      </c>
      <c r="J23" s="11">
        <v>0</v>
      </c>
      <c r="K23" s="12">
        <v>10005</v>
      </c>
      <c r="L23" s="20"/>
    </row>
    <row r="24" ht="16.5" spans="1:12">
      <c r="A24" s="4"/>
      <c r="B24" s="4">
        <v>10021</v>
      </c>
      <c r="C24" s="21" t="s">
        <v>63</v>
      </c>
      <c r="D24" s="18" t="str">
        <f t="shared" si="2"/>
        <v>WordScene+Scene10021Name</v>
      </c>
      <c r="E24" s="18" t="str">
        <f t="shared" si="0"/>
        <v>WordScene+Scene10021Text</v>
      </c>
      <c r="F24" s="18" t="str">
        <f t="shared" si="1"/>
        <v>Scene10021Path</v>
      </c>
      <c r="G24" s="8">
        <v>-1</v>
      </c>
      <c r="H24" s="18" t="str">
        <f t="shared" si="3"/>
        <v>Scene10021Texture.jpg</v>
      </c>
      <c r="I24" s="10" t="s">
        <v>33</v>
      </c>
      <c r="J24" s="11">
        <v>0</v>
      </c>
      <c r="K24" s="12">
        <v>10005</v>
      </c>
      <c r="L24" s="20"/>
    </row>
    <row r="25" ht="16.5" spans="1:12">
      <c r="A25" s="4"/>
      <c r="B25" s="4">
        <v>10022</v>
      </c>
      <c r="C25" s="9" t="s">
        <v>64</v>
      </c>
      <c r="D25" s="18" t="str">
        <f t="shared" si="2"/>
        <v>WordScene+Scene10022Name</v>
      </c>
      <c r="E25" s="18" t="str">
        <f t="shared" si="0"/>
        <v>WordScene+Scene10022Text</v>
      </c>
      <c r="F25" s="18" t="str">
        <f t="shared" si="1"/>
        <v>Scene10022Path</v>
      </c>
      <c r="G25" s="8">
        <v>-1</v>
      </c>
      <c r="H25" s="18" t="str">
        <f t="shared" si="3"/>
        <v>Scene10022Texture.jpg</v>
      </c>
      <c r="I25" s="10" t="s">
        <v>33</v>
      </c>
      <c r="J25" s="11">
        <v>0</v>
      </c>
      <c r="K25" s="12">
        <v>10006</v>
      </c>
      <c r="L25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8" sqref="E8:S40"/>
    </sheetView>
  </sheetViews>
  <sheetFormatPr defaultColWidth="8.66666666666667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小场景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2026-08-14T02:44:17Z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F321D2759FA242A9821472170FB76517_12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