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对话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tc={9638FB6C-ABC7-4DEB-BA79-91F240B16515}</author>
    <author>tc={0F5F2D1B-07B1-4778-98B7-6F665943CEF5}</author>
  </authors>
  <commentList>
    <comment ref="V2" authorId="0">
      <text>
        <r>
          <rPr>
            <sz val="10"/>
            <rFont val="宋体"/>
            <charset val="134"/>
          </rPr>
          <t xml:space="preserve">[线程批注]
你的Excel版本可读取此线程批注; 但如果在更新版本的Excel中打开文件，则对批注所作的任何改动都将被删除。了解详细信息: https://go.microsoft.com/fwlink/?linkid=870924
注释:
    Left	左
Crent	中
Right	右
</t>
        </r>
      </text>
    </comment>
    <comment ref="W2" authorId="1">
      <text>
        <r>
          <rPr>
            <sz val="10"/>
            <rFont val="宋体"/>
            <charset val="134"/>
          </rPr>
          <t xml:space="preserve">[线程批注]
你的Excel版本可读取此线程批注; 但如果在更新版本的Excel中打开文件，则对批注所作的任何改动都将被删除。了解详细信息: https://go.microsoft.com/fwlink/?linkid=870924
注释:
    DEL	删除
MASK	遮罩
OVERRIDE	同时展示
</t>
        </r>
      </text>
    </comment>
  </commentList>
</comments>
</file>

<file path=xl/sharedStrings.xml><?xml version="1.0" encoding="utf-8"?>
<sst xmlns="http://schemas.openxmlformats.org/spreadsheetml/2006/main" count="140" uniqueCount="76">
  <si>
    <t>##var</t>
  </si>
  <si>
    <t>Id</t>
  </si>
  <si>
    <t>Remark</t>
  </si>
  <si>
    <t>PlotModule</t>
  </si>
  <si>
    <t>DisplayAnimId</t>
  </si>
  <si>
    <t>SpeakerId</t>
  </si>
  <si>
    <t>DlgType</t>
  </si>
  <si>
    <t>DlgText</t>
  </si>
  <si>
    <t>NextDlgId</t>
  </si>
  <si>
    <t>OptGrpId</t>
  </si>
  <si>
    <t>PreReqDlgId</t>
  </si>
  <si>
    <t>PreconditionId</t>
  </si>
  <si>
    <t>PostDlgEventId</t>
  </si>
  <si>
    <t>DlgPriority</t>
  </si>
  <si>
    <t>IsSkippable</t>
  </si>
  <si>
    <t>SaveFlag</t>
  </si>
  <si>
    <t>AutoPlayDuration</t>
  </si>
  <si>
    <t>SfxId</t>
  </si>
  <si>
    <t>BgmId</t>
  </si>
  <si>
    <t>BgImageId</t>
  </si>
  <si>
    <t>BubbleStyleId</t>
  </si>
  <si>
    <t>SpritePos</t>
  </si>
  <si>
    <t>PrevSpriteHandle</t>
  </si>
  <si>
    <t>##type</t>
  </si>
  <si>
    <t>long</t>
  </si>
  <si>
    <t>string</t>
  </si>
  <si>
    <t>DialogueType</t>
  </si>
  <si>
    <t>TbLocalzationKeyData#sep=+</t>
  </si>
  <si>
    <t>(list#sep=+),long</t>
  </si>
  <si>
    <t>DlgPriorityType</t>
  </si>
  <si>
    <t>bool</t>
  </si>
  <si>
    <t>int</t>
  </si>
  <si>
    <t>LlustrationDirection</t>
  </si>
  <si>
    <t>PrevSpriteHandleType</t>
  </si>
  <si>
    <t>##</t>
  </si>
  <si>
    <t>对话序号</t>
  </si>
  <si>
    <t>备注</t>
  </si>
  <si>
    <t>所属剧情模块</t>
  </si>
  <si>
    <t>显示动画 ID</t>
  </si>
  <si>
    <t>说话人</t>
  </si>
  <si>
    <t>对话类型</t>
  </si>
  <si>
    <t>对话内容</t>
  </si>
  <si>
    <t>下一句对话ID</t>
  </si>
  <si>
    <t>选项组ID</t>
  </si>
  <si>
    <t>对话前置完成对话 ID</t>
  </si>
  <si>
    <t>进入对话前置条件ID</t>
  </si>
  <si>
    <t>对话结束后触发奖励ID</t>
  </si>
  <si>
    <t>对话优先级</t>
  </si>
  <si>
    <t>对话是否可跳过</t>
  </si>
  <si>
    <t>对话存档标记</t>
  </si>
  <si>
    <t>对话自动播放时长</t>
  </si>
  <si>
    <t>音效ID</t>
  </si>
  <si>
    <t>背景音乐ID</t>
  </si>
  <si>
    <t>背景图ID</t>
  </si>
  <si>
    <t>对话气泡样式 ID</t>
  </si>
  <si>
    <t>立绘位置</t>
  </si>
  <si>
    <t>上一个对话人立绘处理</t>
  </si>
  <si>
    <t>今日状态，电量 0%，精神力彻底见底。</t>
  </si>
  <si>
    <t>普通角色对话</t>
  </si>
  <si>
    <t>日常</t>
  </si>
  <si>
    <t>右</t>
  </si>
  <si>
    <t>MASK</t>
  </si>
  <si>
    <t>人哪有不瘫的，全靠番剧和老婆硬撑罢了。</t>
  </si>
  <si>
    <t>左</t>
  </si>
  <si>
    <t>现实苦得一批，只有二次元能给我救赎。</t>
  </si>
  <si>
    <t>快开新番，现实暂时下线，勿扰。</t>
  </si>
  <si>
    <t>你打我撒!</t>
  </si>
  <si>
    <t>你认真的？</t>
  </si>
  <si>
    <t>吃我一脚</t>
  </si>
  <si>
    <t>10104+10106+10108</t>
  </si>
  <si>
    <t>保护头</t>
  </si>
  <si>
    <t>我的肚子啊</t>
  </si>
  <si>
    <t>保护肚子</t>
  </si>
  <si>
    <t>我的丁丁啊</t>
  </si>
  <si>
    <t>保护丁丁</t>
  </si>
  <si>
    <t>我的头啊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</si>
</sst>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tabSelected="1" workbookViewId="0">
      <selection activeCell="F8" sqref="F8"/>
    </sheetView>
  </sheetViews>
  <sheetFormatPr defaultColWidth="9" defaultRowHeight="14"/>
  <cols>
    <col min="1" max="2" width="8.66666666666667"/>
    <col min="3" max="3" width="41.5" customWidth="1"/>
    <col min="4" max="4" width="16.1666666666667" customWidth="1"/>
    <col min="5" max="5" width="19.75" customWidth="1"/>
    <col min="6" max="6" width="23.4166666666667" customWidth="1"/>
    <col min="7" max="7" width="14" customWidth="1"/>
    <col min="8" max="8" width="43.3333333333333" customWidth="1"/>
    <col min="9" max="9" width="19.75" customWidth="1"/>
    <col min="10" max="10" width="19.5833333333333" customWidth="1"/>
    <col min="11" max="11" width="23" customWidth="1"/>
    <col min="12" max="12" width="23.75" customWidth="1"/>
    <col min="13" max="13" width="24.3333333333333" customWidth="1"/>
    <col min="14" max="14" width="18.5" customWidth="1"/>
    <col min="15" max="15" width="17.0833333333333" customWidth="1"/>
    <col min="16" max="16" width="15.9166666666667" customWidth="1"/>
    <col min="17" max="17" width="17.1666666666667" customWidth="1"/>
    <col min="18" max="18" width="16.4166666666667" customWidth="1"/>
    <col min="19" max="19" width="13.3333333333333" customWidth="1"/>
    <col min="20" max="20" width="13.4166666666667" customWidth="1"/>
    <col min="21" max="21" width="17.0833333333333" customWidth="1"/>
    <col min="22" max="22" width="20" customWidth="1"/>
    <col min="23" max="23" width="25.9166666666667" customWidth="1"/>
    <col min="24" max="16384" width="8.6666666666666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24</v>
      </c>
      <c r="E2" t="s">
        <v>24</v>
      </c>
      <c r="F2" t="s">
        <v>24</v>
      </c>
      <c r="G2" t="s">
        <v>26</v>
      </c>
      <c r="H2" t="s">
        <v>27</v>
      </c>
      <c r="I2" t="s">
        <v>24</v>
      </c>
      <c r="J2" t="s">
        <v>28</v>
      </c>
      <c r="K2" t="s">
        <v>28</v>
      </c>
      <c r="L2" t="s">
        <v>28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24</v>
      </c>
      <c r="S2" t="s">
        <v>24</v>
      </c>
      <c r="T2" t="s">
        <v>24</v>
      </c>
      <c r="U2" t="s">
        <v>31</v>
      </c>
      <c r="V2" t="s">
        <v>32</v>
      </c>
      <c r="W2" t="s">
        <v>33</v>
      </c>
    </row>
    <row r="3" spans="1:2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</row>
    <row r="4" spans="1:23">
      <c r="A4" s="1"/>
      <c r="B4" s="1">
        <v>10000</v>
      </c>
      <c r="C4" s="1" t="s">
        <v>57</v>
      </c>
      <c r="D4" s="1">
        <v>-1</v>
      </c>
      <c r="E4" s="1">
        <v>-1</v>
      </c>
      <c r="F4" s="1">
        <v>-1</v>
      </c>
      <c r="G4" s="1" t="s">
        <v>58</v>
      </c>
      <c r="H4" s="1" t="str">
        <f t="shared" ref="H4:H17" si="0">CONCATENATE("DramaDialogue+",B4)</f>
        <v>DramaDialogue+10000</v>
      </c>
      <c r="I4" s="1">
        <v>10001</v>
      </c>
      <c r="J4" s="1"/>
      <c r="K4" s="1"/>
      <c r="L4" s="1"/>
      <c r="M4" s="1"/>
      <c r="N4" s="1" t="s">
        <v>59</v>
      </c>
      <c r="O4" s="1" t="b">
        <v>1</v>
      </c>
      <c r="P4" s="1" t="b">
        <v>1</v>
      </c>
      <c r="Q4" s="1">
        <v>3</v>
      </c>
      <c r="R4" s="1"/>
      <c r="S4" s="1"/>
      <c r="T4" s="1"/>
      <c r="U4" s="1">
        <v>1</v>
      </c>
      <c r="V4" s="1" t="s">
        <v>60</v>
      </c>
      <c r="W4" s="1" t="s">
        <v>61</v>
      </c>
    </row>
    <row r="5" spans="1:23">
      <c r="A5" s="1"/>
      <c r="B5" s="1">
        <v>10001</v>
      </c>
      <c r="C5" s="1" t="s">
        <v>62</v>
      </c>
      <c r="D5" s="1">
        <v>-1</v>
      </c>
      <c r="E5" s="1">
        <v>-1</v>
      </c>
      <c r="F5" s="1">
        <v>-1</v>
      </c>
      <c r="G5" s="1" t="s">
        <v>58</v>
      </c>
      <c r="H5" s="1" t="str">
        <f t="shared" si="0"/>
        <v>DramaDialogue+10001</v>
      </c>
      <c r="I5" s="1">
        <v>10002</v>
      </c>
      <c r="J5" s="1"/>
      <c r="K5" s="1">
        <v>10000</v>
      </c>
      <c r="L5" s="1"/>
      <c r="M5" s="1"/>
      <c r="N5" s="1" t="s">
        <v>59</v>
      </c>
      <c r="O5" s="1" t="b">
        <v>1</v>
      </c>
      <c r="P5" s="1" t="b">
        <v>1</v>
      </c>
      <c r="Q5" s="1">
        <v>3</v>
      </c>
      <c r="R5" s="1"/>
      <c r="S5" s="1"/>
      <c r="T5" s="1"/>
      <c r="U5" s="1">
        <v>1</v>
      </c>
      <c r="V5" s="1" t="s">
        <v>63</v>
      </c>
      <c r="W5" s="1" t="s">
        <v>61</v>
      </c>
    </row>
    <row r="6" spans="1:23">
      <c r="A6" s="1"/>
      <c r="B6" s="1">
        <v>10002</v>
      </c>
      <c r="C6" s="1" t="s">
        <v>64</v>
      </c>
      <c r="D6" s="1">
        <v>-1</v>
      </c>
      <c r="E6" s="1">
        <v>-1</v>
      </c>
      <c r="F6" s="1">
        <v>10000</v>
      </c>
      <c r="G6" s="1" t="s">
        <v>58</v>
      </c>
      <c r="H6" s="1" t="str">
        <f t="shared" si="0"/>
        <v>DramaDialogue+10002</v>
      </c>
      <c r="I6" s="1">
        <v>10003</v>
      </c>
      <c r="J6" s="1"/>
      <c r="K6" s="1">
        <v>10001</v>
      </c>
      <c r="L6" s="1"/>
      <c r="M6" s="1"/>
      <c r="N6" s="1" t="s">
        <v>59</v>
      </c>
      <c r="O6" s="1" t="b">
        <v>1</v>
      </c>
      <c r="P6" s="1" t="b">
        <v>1</v>
      </c>
      <c r="Q6" s="1">
        <v>3</v>
      </c>
      <c r="R6" s="1"/>
      <c r="S6" s="1"/>
      <c r="T6" s="1"/>
      <c r="U6" s="1">
        <v>1</v>
      </c>
      <c r="V6" s="1" t="s">
        <v>60</v>
      </c>
      <c r="W6" s="1" t="s">
        <v>61</v>
      </c>
    </row>
    <row r="7" spans="1:23">
      <c r="A7" s="1"/>
      <c r="B7" s="1">
        <v>10003</v>
      </c>
      <c r="C7" s="1" t="s">
        <v>65</v>
      </c>
      <c r="D7" s="1">
        <v>-1</v>
      </c>
      <c r="E7" s="1">
        <v>-1</v>
      </c>
      <c r="F7" s="1">
        <v>10000</v>
      </c>
      <c r="G7" s="1" t="s">
        <v>58</v>
      </c>
      <c r="H7" s="1" t="str">
        <f t="shared" si="0"/>
        <v>DramaDialogue+10003</v>
      </c>
      <c r="I7" s="1">
        <v>-1</v>
      </c>
      <c r="J7" s="1"/>
      <c r="K7" s="1">
        <v>10002</v>
      </c>
      <c r="L7" s="1"/>
      <c r="M7" s="1"/>
      <c r="N7" s="1" t="s">
        <v>59</v>
      </c>
      <c r="O7" s="1" t="b">
        <v>1</v>
      </c>
      <c r="P7" s="1" t="b">
        <v>1</v>
      </c>
      <c r="Q7" s="1">
        <v>3</v>
      </c>
      <c r="R7" s="1"/>
      <c r="S7" s="1"/>
      <c r="T7" s="1"/>
      <c r="U7" s="1">
        <v>1</v>
      </c>
      <c r="V7" s="1" t="s">
        <v>63</v>
      </c>
      <c r="W7" s="1" t="s">
        <v>61</v>
      </c>
    </row>
    <row r="8" spans="1:23">
      <c r="A8" s="2"/>
      <c r="B8" s="2">
        <v>10100</v>
      </c>
      <c r="C8" s="2" t="s">
        <v>66</v>
      </c>
      <c r="D8" s="2">
        <v>-1</v>
      </c>
      <c r="E8" s="2">
        <v>-1</v>
      </c>
      <c r="F8" s="2">
        <v>10001</v>
      </c>
      <c r="G8" s="2" t="s">
        <v>58</v>
      </c>
      <c r="H8" s="2" t="str">
        <f t="shared" si="0"/>
        <v>DramaDialogue+10100</v>
      </c>
      <c r="I8" s="2">
        <v>10101</v>
      </c>
      <c r="J8" s="2"/>
      <c r="K8" s="2"/>
      <c r="L8" s="2"/>
      <c r="M8" s="2"/>
      <c r="N8" s="2" t="s">
        <v>59</v>
      </c>
      <c r="O8" s="2" t="b">
        <v>1</v>
      </c>
      <c r="P8" s="2" t="b">
        <v>1</v>
      </c>
      <c r="Q8" s="2">
        <v>3</v>
      </c>
      <c r="R8" s="2"/>
      <c r="S8" s="2"/>
      <c r="T8" s="2"/>
      <c r="U8" s="2">
        <v>1</v>
      </c>
      <c r="V8" s="2" t="s">
        <v>60</v>
      </c>
      <c r="W8" s="2" t="s">
        <v>61</v>
      </c>
    </row>
    <row r="9" spans="1:23">
      <c r="A9" s="2"/>
      <c r="B9" s="2">
        <v>10101</v>
      </c>
      <c r="C9" s="2" t="s">
        <v>67</v>
      </c>
      <c r="D9" s="2">
        <v>-1</v>
      </c>
      <c r="E9" s="2">
        <v>-1</v>
      </c>
      <c r="F9" s="2">
        <v>10001</v>
      </c>
      <c r="G9" s="2" t="s">
        <v>58</v>
      </c>
      <c r="H9" s="2" t="str">
        <f t="shared" si="0"/>
        <v>DramaDialogue+10101</v>
      </c>
      <c r="I9" s="2">
        <v>10102</v>
      </c>
      <c r="J9" s="2"/>
      <c r="K9" s="2">
        <v>10100</v>
      </c>
      <c r="L9" s="2"/>
      <c r="M9" s="2"/>
      <c r="N9" s="2" t="s">
        <v>59</v>
      </c>
      <c r="O9" s="2" t="b">
        <v>1</v>
      </c>
      <c r="P9" s="2" t="b">
        <v>1</v>
      </c>
      <c r="Q9" s="2">
        <v>3</v>
      </c>
      <c r="R9" s="2"/>
      <c r="S9" s="2"/>
      <c r="T9" s="2"/>
      <c r="U9" s="2">
        <v>1</v>
      </c>
      <c r="V9" s="2" t="s">
        <v>63</v>
      </c>
      <c r="W9" s="2" t="s">
        <v>61</v>
      </c>
    </row>
    <row r="10" spans="1:23">
      <c r="A10" s="2"/>
      <c r="B10" s="2">
        <v>10102</v>
      </c>
      <c r="C10" s="2" t="s">
        <v>66</v>
      </c>
      <c r="D10" s="2">
        <v>-1</v>
      </c>
      <c r="E10" s="2">
        <v>-1</v>
      </c>
      <c r="F10" s="2">
        <v>10001</v>
      </c>
      <c r="G10" s="2" t="s">
        <v>58</v>
      </c>
      <c r="H10" s="2" t="str">
        <f t="shared" si="0"/>
        <v>DramaDialogue+10102</v>
      </c>
      <c r="I10" s="2">
        <v>10103</v>
      </c>
      <c r="J10" s="2"/>
      <c r="K10" s="2">
        <v>10101</v>
      </c>
      <c r="L10" s="2"/>
      <c r="M10" s="2"/>
      <c r="N10" s="2" t="s">
        <v>59</v>
      </c>
      <c r="O10" s="2" t="b">
        <v>1</v>
      </c>
      <c r="P10" s="2" t="b">
        <v>1</v>
      </c>
      <c r="Q10" s="2">
        <v>3</v>
      </c>
      <c r="R10" s="2"/>
      <c r="S10" s="2"/>
      <c r="T10" s="2"/>
      <c r="U10" s="2">
        <v>1</v>
      </c>
      <c r="V10" s="2" t="s">
        <v>60</v>
      </c>
      <c r="W10" s="2" t="s">
        <v>61</v>
      </c>
    </row>
    <row r="11" spans="1:23">
      <c r="A11" s="2"/>
      <c r="B11" s="2">
        <v>10103</v>
      </c>
      <c r="C11" s="2" t="s">
        <v>68</v>
      </c>
      <c r="D11" s="2">
        <v>-1</v>
      </c>
      <c r="E11" s="2">
        <v>-1</v>
      </c>
      <c r="F11" s="2">
        <v>10001</v>
      </c>
      <c r="G11" s="2" t="s">
        <v>58</v>
      </c>
      <c r="H11" s="2" t="str">
        <f t="shared" si="0"/>
        <v>DramaDialogue+10103</v>
      </c>
      <c r="I11" s="2">
        <v>-1</v>
      </c>
      <c r="J11" s="2" t="s">
        <v>69</v>
      </c>
      <c r="K11" s="2">
        <v>10102</v>
      </c>
      <c r="L11" s="2"/>
      <c r="M11" s="2"/>
      <c r="N11" s="2" t="s">
        <v>59</v>
      </c>
      <c r="O11" s="2" t="b">
        <v>1</v>
      </c>
      <c r="P11" s="2" t="b">
        <v>1</v>
      </c>
      <c r="Q11" s="2">
        <v>3</v>
      </c>
      <c r="R11" s="2"/>
      <c r="S11" s="2"/>
      <c r="T11" s="2"/>
      <c r="U11" s="2">
        <v>1</v>
      </c>
      <c r="V11" s="2" t="s">
        <v>60</v>
      </c>
      <c r="W11" s="2" t="s">
        <v>61</v>
      </c>
    </row>
    <row r="12" spans="1:23">
      <c r="A12" s="2"/>
      <c r="B12" s="2">
        <v>10104</v>
      </c>
      <c r="C12" s="2" t="s">
        <v>70</v>
      </c>
      <c r="D12" s="2">
        <v>-1</v>
      </c>
      <c r="E12" s="2">
        <v>-1</v>
      </c>
      <c r="F12" s="2">
        <v>10001</v>
      </c>
      <c r="G12" s="2" t="s">
        <v>58</v>
      </c>
      <c r="H12" s="2" t="str">
        <f t="shared" si="0"/>
        <v>DramaDialogue+10104</v>
      </c>
      <c r="I12" s="2">
        <v>10105</v>
      </c>
      <c r="J12" s="2"/>
      <c r="K12" s="2"/>
      <c r="L12" s="2"/>
      <c r="M12" s="2"/>
      <c r="N12" s="2" t="s">
        <v>59</v>
      </c>
      <c r="O12" s="2" t="b">
        <v>1</v>
      </c>
      <c r="P12" s="2" t="b">
        <v>1</v>
      </c>
      <c r="Q12" s="2">
        <v>3</v>
      </c>
      <c r="R12" s="2"/>
      <c r="S12" s="2"/>
      <c r="T12" s="2"/>
      <c r="U12" s="2">
        <v>1</v>
      </c>
      <c r="V12" s="2" t="s">
        <v>60</v>
      </c>
      <c r="W12" s="2" t="s">
        <v>61</v>
      </c>
    </row>
    <row r="13" spans="1:23">
      <c r="A13" s="2"/>
      <c r="B13" s="2">
        <v>10105</v>
      </c>
      <c r="C13" s="2" t="s">
        <v>71</v>
      </c>
      <c r="D13" s="2">
        <v>-1</v>
      </c>
      <c r="E13" s="2">
        <v>-1</v>
      </c>
      <c r="F13" s="2">
        <v>10001</v>
      </c>
      <c r="G13" s="2" t="s">
        <v>58</v>
      </c>
      <c r="H13" s="2" t="str">
        <f t="shared" si="0"/>
        <v>DramaDialogue+10105</v>
      </c>
      <c r="I13" s="2">
        <v>-1</v>
      </c>
      <c r="J13" s="2"/>
      <c r="K13" s="2"/>
      <c r="L13" s="2"/>
      <c r="M13" s="2"/>
      <c r="N13" s="2" t="s">
        <v>59</v>
      </c>
      <c r="O13" s="2" t="b">
        <v>1</v>
      </c>
      <c r="P13" s="2" t="b">
        <v>1</v>
      </c>
      <c r="Q13" s="2">
        <v>3</v>
      </c>
      <c r="R13" s="2"/>
      <c r="S13" s="2"/>
      <c r="T13" s="2"/>
      <c r="U13" s="2">
        <v>1</v>
      </c>
      <c r="V13" s="2" t="s">
        <v>60</v>
      </c>
      <c r="W13" s="2" t="s">
        <v>61</v>
      </c>
    </row>
    <row r="14" spans="1:23">
      <c r="A14" s="2"/>
      <c r="B14" s="2">
        <v>10106</v>
      </c>
      <c r="C14" s="2" t="s">
        <v>72</v>
      </c>
      <c r="D14" s="2">
        <v>-1</v>
      </c>
      <c r="E14" s="2">
        <v>-1</v>
      </c>
      <c r="F14" s="2">
        <v>10001</v>
      </c>
      <c r="G14" s="2" t="s">
        <v>58</v>
      </c>
      <c r="H14" s="2" t="str">
        <f t="shared" si="0"/>
        <v>DramaDialogue+10106</v>
      </c>
      <c r="I14" s="2">
        <v>10107</v>
      </c>
      <c r="J14" s="2"/>
      <c r="K14" s="2"/>
      <c r="L14" s="2"/>
      <c r="M14" s="2"/>
      <c r="N14" s="2" t="s">
        <v>59</v>
      </c>
      <c r="O14" s="2" t="b">
        <v>1</v>
      </c>
      <c r="P14" s="2" t="b">
        <v>1</v>
      </c>
      <c r="Q14" s="2">
        <v>3</v>
      </c>
      <c r="R14" s="2"/>
      <c r="S14" s="2"/>
      <c r="T14" s="2"/>
      <c r="U14" s="2">
        <v>1</v>
      </c>
      <c r="V14" s="2" t="s">
        <v>60</v>
      </c>
      <c r="W14" s="2" t="s">
        <v>61</v>
      </c>
    </row>
    <row r="15" spans="1:23">
      <c r="A15" s="2"/>
      <c r="B15" s="2">
        <v>10107</v>
      </c>
      <c r="C15" s="2" t="s">
        <v>73</v>
      </c>
      <c r="D15" s="2">
        <v>-1</v>
      </c>
      <c r="E15" s="2">
        <v>-1</v>
      </c>
      <c r="F15" s="2">
        <v>10001</v>
      </c>
      <c r="G15" s="2" t="s">
        <v>58</v>
      </c>
      <c r="H15" s="2" t="str">
        <f t="shared" si="0"/>
        <v>DramaDialogue+10107</v>
      </c>
      <c r="I15" s="2">
        <v>-1</v>
      </c>
      <c r="J15" s="2"/>
      <c r="K15" s="2"/>
      <c r="L15" s="2"/>
      <c r="M15" s="2"/>
      <c r="N15" s="2" t="s">
        <v>59</v>
      </c>
      <c r="O15" s="2" t="b">
        <v>1</v>
      </c>
      <c r="P15" s="2" t="b">
        <v>1</v>
      </c>
      <c r="Q15" s="2">
        <v>3</v>
      </c>
      <c r="R15" s="2"/>
      <c r="S15" s="2"/>
      <c r="T15" s="2"/>
      <c r="U15" s="2">
        <v>1</v>
      </c>
      <c r="V15" s="2" t="s">
        <v>60</v>
      </c>
      <c r="W15" s="2" t="s">
        <v>61</v>
      </c>
    </row>
    <row r="16" spans="1:23">
      <c r="A16" s="2"/>
      <c r="B16" s="2">
        <v>10108</v>
      </c>
      <c r="C16" s="2" t="s">
        <v>74</v>
      </c>
      <c r="D16" s="2">
        <v>-1</v>
      </c>
      <c r="E16" s="2">
        <v>-1</v>
      </c>
      <c r="F16" s="2">
        <v>10001</v>
      </c>
      <c r="G16" s="2" t="s">
        <v>58</v>
      </c>
      <c r="H16" s="2" t="str">
        <f t="shared" si="0"/>
        <v>DramaDialogue+10108</v>
      </c>
      <c r="I16" s="2">
        <v>10109</v>
      </c>
      <c r="J16" s="2"/>
      <c r="K16" s="2"/>
      <c r="L16" s="2"/>
      <c r="M16" s="2"/>
      <c r="N16" s="2" t="s">
        <v>59</v>
      </c>
      <c r="O16" s="2" t="b">
        <v>1</v>
      </c>
      <c r="P16" s="2" t="b">
        <v>1</v>
      </c>
      <c r="Q16" s="2">
        <v>3</v>
      </c>
      <c r="R16" s="2"/>
      <c r="S16" s="2"/>
      <c r="T16" s="2"/>
      <c r="U16" s="2">
        <v>1</v>
      </c>
      <c r="V16" s="2" t="s">
        <v>60</v>
      </c>
      <c r="W16" s="2" t="s">
        <v>61</v>
      </c>
    </row>
    <row r="17" spans="1:23">
      <c r="A17" s="2"/>
      <c r="B17" s="2">
        <v>10109</v>
      </c>
      <c r="C17" s="2" t="s">
        <v>75</v>
      </c>
      <c r="D17" s="2">
        <v>-1</v>
      </c>
      <c r="E17" s="2">
        <v>-1</v>
      </c>
      <c r="F17" s="2">
        <v>10002</v>
      </c>
      <c r="G17" s="2" t="s">
        <v>58</v>
      </c>
      <c r="H17" s="2" t="str">
        <f t="shared" si="0"/>
        <v>DramaDialogue+10109</v>
      </c>
      <c r="I17" s="2">
        <v>-1</v>
      </c>
      <c r="J17" s="2"/>
      <c r="K17" s="2"/>
      <c r="L17" s="2"/>
      <c r="M17" s="2"/>
      <c r="N17" s="2" t="s">
        <v>59</v>
      </c>
      <c r="O17" s="2" t="b">
        <v>1</v>
      </c>
      <c r="P17" s="2" t="b">
        <v>1</v>
      </c>
      <c r="Q17" s="2">
        <v>3</v>
      </c>
      <c r="R17" s="2"/>
      <c r="S17" s="2"/>
      <c r="T17" s="2"/>
      <c r="U17" s="2">
        <v>1</v>
      </c>
      <c r="V17" s="2" t="s">
        <v>60</v>
      </c>
      <c r="W17" s="2" t="s">
        <v>61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对话表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2026-06-30T02:20:57Z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2E274C5FDAC942859E703C3A5974DD64_12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